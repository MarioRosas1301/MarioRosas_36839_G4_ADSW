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LISTA COMPROBACION CU-001" sheetId="2" r:id="rId5"/>
    <sheet state="visible" name="LISTA COMPROBACION CU-002" sheetId="3" r:id="rId6"/>
    <sheet state="visible" name="LISTA COMPROBACION CU-003" sheetId="4" r:id="rId7"/>
    <sheet state="visible" name="RECOMENDACIONES CU-001" sheetId="5" r:id="rId8"/>
    <sheet state="visible" name="RECOMENDACIONES CU-002" sheetId="6" r:id="rId9"/>
    <sheet state="visible" name="RECOMENDACIONES CU-003" sheetId="7" r:id="rId10"/>
  </sheets>
  <definedNames/>
  <calcPr/>
  <extLst>
    <ext uri="GoogleSheetsCustomDataVersion2">
      <go:sheetsCustomData xmlns:go="http://customooxmlschemas.google.com/" r:id="rId11" roundtripDataChecksum="vZ9eQd0lk8tBrwsTMPg7U+O3t9ZbUl38KkCo27uJmZ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ID#AAACIOdvYIg
jeny ruiz    (2026-10-01 13:12:27)
Es importante ingresar el archivo plano en formato excel para el cliente y el desarrollador</t>
      </text>
    </comment>
    <comment authorId="0" ref="G7">
      <text>
        <t xml:space="preserve">======
ID#AAACIOdvYKQ
jeny ruiz    (2026-10-01 13:12:27)
Control del nivel de acuedo entre las partes Cliente y Desarrollador</t>
      </text>
    </comment>
    <comment authorId="0" ref="K9">
      <text>
        <t xml:space="preserve">======
ID#AAACIOdvYKg
jeny ruiz    (2026-10-01 13:12:27)
Es importante ingresar el archivo plano en formato excel para el cliente y el desarrollador</t>
      </text>
    </comment>
    <comment authorId="0" ref="I7">
      <text>
        <t xml:space="preserve">======
ID#AAACIOdvYJ4
jeny ruiz    (2026-10-01 13:12:27)
Se guarda en un archivo Excel los registros que dieron un problema en la actualización.</t>
      </text>
    </comment>
    <comment authorId="0" ref="J7">
      <text>
        <t xml:space="preserve">======
ID#AAACIOdvYIw
jeny ruiz    (2026-10-01 13:12:27)
Control del nivel de acuedo entre las partes Cliente y Desarrollador</t>
      </text>
    </comment>
    <comment authorId="0" ref="K7">
      <text>
        <t xml:space="preserve">======
ID#AAACIOdvYIU
jeny ruiz    (2026-10-01 13:12:27)
jeny ruiz:
Posterior a la actualización, se guardaran automáticamente el nombre de usuario, fecha, hora, registro antiguo, registro nuevo.</t>
      </text>
    </comment>
    <comment authorId="0" ref="C19">
      <text>
        <t xml:space="preserve">======
ID#AAACIOdvYJQ
jeny ruiz    (2026-10-01 13:12:27)
Para todos los interesados dependiendo  de la fase del proyecto podrían estar involucrados  distintos implicados,(Glosario de tèrminos)</t>
      </text>
    </comment>
    <comment authorId="0" ref="C18">
      <text>
        <t xml:space="preserve">======
ID#AAACIOdvYKI
jeny ruiz    (2026-10-01 13:12:27)
Trata todos los asuntos relevantes</t>
      </text>
    </comment>
    <comment authorId="0" ref="C17">
      <text>
        <t xml:space="preserve">======
ID#AAACIOdvYJI
jeny ruiz    (2026-10-01 13:12:27)
El origen del requisito y sus relaciones con otros requisitos  están claros.</t>
      </text>
    </comment>
    <comment authorId="0" ref="C16">
      <text>
        <t xml:space="preserve">======
ID#AAACIOdvYJg
jeny ruiz    (2026-10-01 13:12:27)
Puede ser implementado  y desarrollado en las condiciones actuales(tiempo, Presupuest,, orgtanizaciòn, ect)</t>
      </text>
    </comment>
    <comment authorId="0" ref="C15">
      <text>
        <t xml:space="preserve">======
ID#AAACIOdvYII
jeny ruiz    (2026-10-01 13:12:27)
Su cumplimiento o no cumplimiento puede der probado con un esfuerzo razonable</t>
      </text>
    </comment>
    <comment authorId="0" ref="C14">
      <text>
        <t xml:space="preserve">======
ID#AAACIOdvYJk
jeny ruiz    (2026-10-01 13:12:27)
Sin contradicciones</t>
      </text>
    </comment>
    <comment authorId="0" ref="C13">
      <text>
        <t xml:space="preserve">======
ID#AAACIOdvYKA
jeny ruiz    (2026-10-01 13:12:27)
Refleja las espectativas  del implicado</t>
      </text>
    </comment>
    <comment authorId="0" ref="C12">
      <text>
        <t xml:space="preserve">======
ID#AAACIOdvYI0
jeny ruiz    (2026-10-01 13:12:27)
Toda nueva información  ha sido incorporada</t>
      </text>
    </comment>
    <comment authorId="0" ref="C11">
      <text>
        <t xml:space="preserve">======
ID#AAACIOdvYIA
jeny ruiz    (2026-10-01 13:12:27)
Todos los lectores comprenden de la misma manera, sólo una interpretación</t>
      </text>
    </comment>
    <comment authorId="0" ref="C10">
      <text>
        <t xml:space="preserve">======
ID#AAACIOdvYJM
jeny ruiz    (2026-10-01 13:12:27)
Ponderado por importancia o prioridad</t>
      </text>
    </comment>
    <comment authorId="0" ref="C9">
      <text>
        <t xml:space="preserve">======
ID#AAACIOdvYI8
jeny ruiz    (2026-10-01 13:12:27)
Todos los interesados reconocen que el  requisito es correcto y relevante</t>
      </text>
    </comment>
    <comment authorId="0" ref="F9">
      <text>
        <t xml:space="preserve">======
ID#AAACIOdvYH0
jeny ruiz    (2026-10-01 13:12:27)
Es importante ingresar el archivo plano en formato excel para el cliente y el desarrollador</t>
      </text>
    </comment>
    <comment authorId="0" ref="E7">
      <text>
        <t xml:space="preserve">======
ID#AAACIOdvYKU
jeny ruiz    (2026-10-01 13:12:27)
Control del nivel de acuedo entre las partes Cliente y Desarrollador</t>
      </text>
    </comment>
    <comment authorId="0" ref="F7">
      <text>
        <t xml:space="preserve">======
ID#AAACIOdvYIc
jeny ruiz    (2026-10-01 13:12:27)
La información contenida en memoria se utiliza para actualizar los campos de la base de datos.</t>
      </text>
    </comment>
  </commentList>
  <extLst>
    <ext uri="GoogleSheetsCustomDataVersion2">
      <go:sheetsCustomData xmlns:go="http://customooxmlschemas.google.com/" r:id="rId1" roundtripDataSignature="AMtx7mhdF1N5uwf5e2+OBg4Nl8kvfzpI9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ID#AAACIOdvYJY
ESPE    (2026-10-01 13:12:27)
verificable</t>
      </text>
    </comment>
    <comment authorId="0" ref="B15">
      <text>
        <t xml:space="preserve">======
ID#AAACIOdvYIQ
ESPE    (2026-10-01 13:12:27)
NECESIDAD</t>
      </text>
    </comment>
    <comment authorId="0" ref="B14">
      <text>
        <t xml:space="preserve">======
ID#AAACIOdvYI4
ESPE    (2026-10-01 13:12:27)
CONSISTENCIA</t>
      </text>
    </comment>
    <comment authorId="0" ref="B13">
      <text>
        <t xml:space="preserve">======
ID#AAACIOdvYIY
ESPE    (2026-10-01 13:12:27)
CORRECCION</t>
      </text>
    </comment>
    <comment authorId="0" ref="B12">
      <text>
        <t xml:space="preserve">======
ID#AAACIOdvYIM
ESPE    (2026-10-01 13:12:27)
TRAZABILIDAD</t>
      </text>
    </comment>
    <comment authorId="0" ref="B11">
      <text>
        <t xml:space="preserve">======
ID#AAACIOdvYH8
ESPE    (2026-10-01 13:12:27)
trazabilidad</t>
      </text>
    </comment>
    <comment authorId="0" ref="B10">
      <text>
        <t xml:space="preserve">======
ID#AAACIOdvYJA
ESPE    (2026-10-01 13:12:27)
TRAZABILIDAD</t>
      </text>
    </comment>
    <comment authorId="0" ref="B9">
      <text>
        <t xml:space="preserve">======
ID#AAACIOdvYKs
ESPE    (2026-10-01 13:12:27)
COMPLETITUD REQUISITO INDIVIDUAL</t>
      </text>
    </comment>
    <comment authorId="0" ref="B8">
      <text>
        <t xml:space="preserve">======
ID#AAACIOdvYH4
ESPE    (2026-10-01 13:12:27)
COMPLETITUD DOCUMENTO</t>
      </text>
    </comment>
  </commentList>
  <extLst>
    <ext uri="GoogleSheetsCustomDataVersion2">
      <go:sheetsCustomData xmlns:go="http://customooxmlschemas.google.com/" r:id="rId1" roundtripDataSignature="AMtx7miWWDkWPA3F7qHEzrVpQ3Lc3RnwO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ID#AAACIOdvYKk
ESPE    (2026-10-01 13:12:27)
verificable</t>
      </text>
    </comment>
    <comment authorId="0" ref="B15">
      <text>
        <t xml:space="preserve">======
ID#AAACIOdvYIE
ESPE    (2026-10-01 13:12:27)
NECESIDAD</t>
      </text>
    </comment>
    <comment authorId="0" ref="B14">
      <text>
        <t xml:space="preserve">======
ID#AAACIOdvYKc
ESPE    (2026-10-01 13:12:27)
CONSISTENCIA</t>
      </text>
    </comment>
    <comment authorId="0" ref="B13">
      <text>
        <t xml:space="preserve">======
ID#AAACIOdvYKo
ESPE    (2026-10-01 13:12:27)
CORRECCION</t>
      </text>
    </comment>
    <comment authorId="0" ref="B12">
      <text>
        <t xml:space="preserve">======
ID#AAACIOdvYJs
ESPE    (2026-10-01 13:12:27)
TRAZABILIDAD</t>
      </text>
    </comment>
    <comment authorId="0" ref="B11">
      <text>
        <t xml:space="preserve">======
ID#AAACIOdvYIs
ESPE    (2026-10-01 13:12:27)
trazabilidad</t>
      </text>
    </comment>
    <comment authorId="0" ref="B10">
      <text>
        <t xml:space="preserve">======
ID#AAACIOdvYJo
ESPE    (2026-10-01 13:12:27)
TRAZABILIDAD</t>
      </text>
    </comment>
    <comment authorId="0" ref="B9">
      <text>
        <t xml:space="preserve">======
ID#AAACIOdvYJE
ESPE    (2026-10-01 13:12:27)
COMPLETITUD REQUISITO INDIVIDUAL</t>
      </text>
    </comment>
    <comment authorId="0" ref="B8">
      <text>
        <t xml:space="preserve">======
ID#AAACIOdvYJc
ESPE    (2026-10-01 13:12:27)
COMPLETITUD DOCUMENTO</t>
      </text>
    </comment>
  </commentList>
  <extLst>
    <ext uri="GoogleSheetsCustomDataVersion2">
      <go:sheetsCustomData xmlns:go="http://customooxmlschemas.google.com/" r:id="rId1" roundtripDataSignature="AMtx7mjAV2bynqFn7D31Rf/q4U4/O+l1L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ID#AAACIOdvYIo
ESPE    (2026-10-01 13:12:27)
verificable</t>
      </text>
    </comment>
    <comment authorId="0" ref="B15">
      <text>
        <t xml:space="preserve">======
ID#AAACIOdvYIk
ESPE    (2026-10-01 13:12:27)
NECESIDAD</t>
      </text>
    </comment>
    <comment authorId="0" ref="B14">
      <text>
        <t xml:space="preserve">======
ID#AAACIOdvYJ0
ESPE    (2026-10-01 13:12:27)
CONSISTENCIA</t>
      </text>
    </comment>
    <comment authorId="0" ref="B13">
      <text>
        <t xml:space="preserve">======
ID#AAACIOdvYJw
ESPE    (2026-10-01 13:12:27)
CORRECCION</t>
      </text>
    </comment>
    <comment authorId="0" ref="B12">
      <text>
        <t xml:space="preserve">======
ID#AAACIOdvYKM
ESPE    (2026-10-01 13:12:27)
TRAZABILIDAD</t>
      </text>
    </comment>
    <comment authorId="0" ref="B11">
      <text>
        <t xml:space="preserve">======
ID#AAACIOdvYKE
ESPE    (2026-10-01 13:12:27)
trazabilidad</t>
      </text>
    </comment>
    <comment authorId="0" ref="B10">
      <text>
        <t xml:space="preserve">======
ID#AAACIOdvYJ8
ESPE    (2026-10-01 13:12:27)
TRAZABILIDAD</t>
      </text>
    </comment>
    <comment authorId="0" ref="B9">
      <text>
        <t xml:space="preserve">======
ID#AAACIOdvYJU
ESPE    (2026-10-01 13:12:27)
COMPLETITUD REQUISITO INDIVIDUAL</t>
      </text>
    </comment>
    <comment authorId="0" ref="B8">
      <text>
        <t xml:space="preserve">======
ID#AAACIOdvYKY
ESPE    (2026-10-01 13:12:27)
COMPLETITUD DOCUMENTO</t>
      </text>
    </comment>
  </commentList>
  <extLst>
    <ext uri="GoogleSheetsCustomDataVersion2">
      <go:sheetsCustomData xmlns:go="http://customooxmlschemas.google.com/" r:id="rId1" roundtripDataSignature="AMtx7mjjtZgZUpHb5BPRMRHpynFvrINzww=="/>
    </ext>
  </extLst>
</comments>
</file>

<file path=xl/sharedStrings.xml><?xml version="1.0" encoding="utf-8"?>
<sst xmlns="http://schemas.openxmlformats.org/spreadsheetml/2006/main" count="309" uniqueCount="101">
  <si>
    <t>MATRIZ PARA COMPROBACIÓN REQUERIMIENTOS DE CALIDAD DE PROYECTO ACADEMICO</t>
  </si>
  <si>
    <t>SISTEMA:</t>
  </si>
  <si>
    <t>BOT DE MENSAJERIA</t>
  </si>
  <si>
    <t>Requerimientos  Funcionales</t>
  </si>
  <si>
    <t>Nº</t>
  </si>
  <si>
    <t>CRITERIOS DE CALIDAD (Documento/Requerimientos)</t>
  </si>
  <si>
    <t>Status
Nivel de Acuerdo</t>
  </si>
  <si>
    <t xml:space="preserve">
CU-001 Inicio de Conversacion yMenú de Bienvenida
</t>
  </si>
  <si>
    <t>CU-002 Recopilación de Datos de Paciente Nuevo</t>
  </si>
  <si>
    <t>CU-003 Selección de Sucursal</t>
  </si>
  <si>
    <t>Agreed</t>
  </si>
  <si>
    <t>OK</t>
  </si>
  <si>
    <t>1. Entrevista con la directora del centro médico
2. Encuesta a pacientes (n=22)
3. Versión v3.1 con feedback incorporado</t>
  </si>
  <si>
    <t>Ranked</t>
  </si>
  <si>
    <t>1. Prioridad Crítica definida en el SRS.</t>
  </si>
  <si>
    <t>Unambiguos</t>
  </si>
  <si>
    <t>1. Lenguaje claro acompañado de un glosario.
2. El revisor comprende el flujo del requisito.</t>
  </si>
  <si>
    <t>NOK</t>
  </si>
  <si>
    <t>1. No se detallan los datos personales a solicitar.
2. Formato de pasaporte y RUC sin regla definida.</t>
  </si>
  <si>
    <t>Valid and up-to date</t>
  </si>
  <si>
    <t>1. Se incorporaron los cambios luego de la revisión del cliente (v3.1).</t>
  </si>
  <si>
    <t>Correct</t>
  </si>
  <si>
    <t>1. Cumple con los objetivos del sistema.
2. Cumple con las necesidades del cliente.</t>
  </si>
  <si>
    <t>1. Cita la LGPD (Brasil); en Ecuador aplica la LOPDP.</t>
  </si>
  <si>
    <t>Consisten</t>
  </si>
  <si>
    <t>1. Se declara agnóstico, pero depende de Evolution API (WhatsApp).
2. La máquina de estados (RF-014) no incluye el registro.</t>
  </si>
  <si>
    <t>1. La máquina de estados (RF-014) no incluye el registro.
2. Normativa de datos incoherente con Ecuador.</t>
  </si>
  <si>
    <t>1. Derivación tras 3 errores (RF-003) vs. 5 errores (RF-014).</t>
  </si>
  <si>
    <t>Verifiable</t>
  </si>
  <si>
    <t>1. Requisito medible (&lt; 1 segundo)
2. Ausencia de casos de prueba</t>
  </si>
  <si>
    <t>1. Validación módulo 10 medible
2. Ausencia de casos de prueba</t>
  </si>
  <si>
    <t>1. Requisito medible (sedes ACTIVAS, 3 intentos)
2. Faltan casos de prueba formales</t>
  </si>
  <si>
    <t>Realizable</t>
  </si>
  <si>
    <t>1. Factible con la tecnología definida (Node.js, Redis, MongoDB).</t>
  </si>
  <si>
    <t>Traceable</t>
  </si>
  <si>
    <t>1. Identificador único y origen en caso de uso.
2. Relación con otros requisitos (RF-002, RNF-08).</t>
  </si>
  <si>
    <t>1. Identificador único y origen en caso de uso.
2. Relación con otros requisitos (RF-001, RNF-07).</t>
  </si>
  <si>
    <t>1. Identificador único y origen en caso de uso.
2. Relación con otros requisitos (RF-004, RF-013).</t>
  </si>
  <si>
    <t>Complete</t>
  </si>
  <si>
    <t>1. No detalla las opciones del menú.
2. Faltan precondiciones y postcondiciones.</t>
  </si>
  <si>
    <t>1. No lista los campos obligatorios.
2. No contempla menores de edad ni rechazo del consentimiento.</t>
  </si>
  <si>
    <t>1. No define qué pasa si no hay sedes activas.
2. No define cómo se interpreta la respuesta por texto.</t>
  </si>
  <si>
    <t>Understandability</t>
  </si>
  <si>
    <t>1. Se involucra completamente al cliente.
2. Existe un glosario de términos para una mayor comprensión.</t>
  </si>
  <si>
    <t>BOT DE MENSAJERÍA</t>
  </si>
  <si>
    <t>FECHA:</t>
  </si>
  <si>
    <t>AUTOR:</t>
  </si>
  <si>
    <t>GUANO VICTOR</t>
  </si>
  <si>
    <t>REQUERIMIENTOS EVALUADOS :</t>
  </si>
  <si>
    <t>CU-001 Inicio de Conversación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</si>
  <si>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</si>
  <si>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</si>
  <si>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</si>
  <si>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</si>
  <si>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</si>
  <si>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</si>
  <si>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</si>
  <si>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</si>
  <si>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</si>
  <si>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</si>
  <si>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</si>
  <si>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</si>
  <si>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</si>
  <si>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</si>
  <si>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</si>
  <si>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</si>
  <si>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</si>
  <si>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</si>
  <si>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</si>
  <si>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</si>
  <si>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</si>
  <si>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</si>
  <si>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</si>
  <si>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</si>
  <si>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</si>
  <si>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</si>
  <si>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</si>
  <si>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</si>
  <si>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</si>
  <si>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Mario Rosas</t>
  </si>
  <si>
    <t>CU-002 Datos Paciente Nuevo</t>
  </si>
  <si>
    <t>Jonathan Ampuero</t>
  </si>
  <si>
    <t>CU-003 Selección de Sucursal</t>
  </si>
  <si>
    <t>Existe un proceso acotado que permita determinar que el sistema construido satisface lo descrito en el propio requerimiento?</t>
  </si>
  <si>
    <t>PREGUNTA</t>
  </si>
  <si>
    <t>RECOMENDACIÓN</t>
  </si>
  <si>
    <t>¿El requisito es completo y consistente con los demás requisitos?</t>
  </si>
  <si>
    <t>Detallar las opciones del menú de bienvenida, agregar precondiciones y postcondiciones, e incluir en la máquina de estados (RF-014) el paso de registro al que deriva el requisito.</t>
  </si>
  <si>
    <t>¿Se han definido criterios de aceptación y casos de prueba que permitan medir objetivamente el cumplimiento del requisito?</t>
  </si>
  <si>
    <t>Definir criterios de aceptación medibles (paciente registrado, paciente nuevo, tiempo de respuesta) y documentar un caso de prueba por cada uno con datos de entrada y resultado esperado.</t>
  </si>
  <si>
    <t>¿Se han resuelto los conflictos conocidos del requisito?</t>
  </si>
  <si>
    <t>Aclarar que Evolution API es solo el adaptador de WhatsApp y validar el cambio con el cliente y el tutor en una minuta formal.</t>
  </si>
  <si>
    <t>¿El requisito refleja correctamente las necesidades del cliente y la normativa vigente?</t>
  </si>
  <si>
    <t>Reemplazar la LGPD por la Ley Orgánica de Protección de Datos Personales de Ecuador (LOPDP) en el requisito, el glosario y los requisitos relacionados.</t>
  </si>
  <si>
    <t>¿El requisito es completo, claro y consistente con los demás requisitos?</t>
  </si>
  <si>
    <t>Listar los campos obligatorios del registro, definir el flujo para menores de edad y para el rechazo del consentimiento, e incluir los estados del registro en la máquina de estados (RF-014).</t>
  </si>
  <si>
    <t>¿El requisito es consistente con los demás requisitos?</t>
  </si>
  <si>
    <t>Unificar el número de errores antes de derivar al asesor (3 o 5) en RF-003, RF-013, RF-014 y en la tabla de actores, y validar la decisión con el cliente.</t>
  </si>
  <si>
    <t>Diseñar casos de prueba para cédula válida e inválida, pasaporte, RUC, correo inválido y rechazo del consentimiento, indicando datos de entrada y resultado esperado.</t>
  </si>
  <si>
    <t>¿El requisito es completo?</t>
  </si>
  <si>
    <t>Definir el comportamiento cuando no hay sedes activas o existe una sola, y cómo se interpreta una respuesta escrita por texto (mayúsculas, tildes, coincidencia parcial).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</si>
</sst>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Arial"/>
    </font>
    <font>
      <color theme="1"/>
      <name val="Calibri"/>
      <scheme val="minor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6" fillId="0" fontId="6" numFmtId="0" xfId="0" applyBorder="1" applyFont="1"/>
    <xf borderId="4" fillId="2" fontId="8" numFmtId="0" xfId="0" applyAlignment="1" applyBorder="1" applyFill="1" applyFont="1">
      <alignment horizontal="center" shrinkToFit="0" vertical="center" wrapText="1"/>
    </xf>
    <xf borderId="7" fillId="0" fontId="9" numFmtId="0" xfId="0" applyBorder="1" applyFont="1"/>
    <xf borderId="4" fillId="2" fontId="7" numFmtId="0" xfId="0" applyAlignment="1" applyBorder="1" applyFill="1" applyFont="1">
      <alignment horizontal="center"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3" fontId="10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horizontal="center" shrinkToFit="0" vertical="center" wrapText="1"/>
    </xf>
    <xf borderId="12" fillId="3" fontId="12" numFmtId="0" xfId="0" applyAlignment="1" applyBorder="1" applyFill="1" applyFont="1">
      <alignment horizontal="left" shrinkToFit="0" vertical="center" wrapText="1"/>
    </xf>
    <xf borderId="0" fillId="0" fontId="2" numFmtId="0" xfId="0" applyFont="1"/>
    <xf borderId="7" fillId="3" fontId="12" numFmtId="0" xfId="0" applyAlignment="1" applyBorder="1" applyFill="1" applyFont="1">
      <alignment shrinkToFit="0" vertical="center" wrapText="1"/>
    </xf>
    <xf borderId="7" fillId="5" fontId="11" numFmtId="0" xfId="0" applyAlignment="1" applyBorder="1" applyFill="1" applyFont="1">
      <alignment horizontal="center" shrinkToFit="0" vertical="center" wrapText="1"/>
    </xf>
    <xf borderId="7" fillId="3" fontId="12" numFmtId="0" xfId="0" applyAlignment="1" applyBorder="1" applyFill="1" applyFont="1">
      <alignment horizontal="left" shrinkToFit="0" vertical="center" wrapText="1"/>
    </xf>
    <xf borderId="13" fillId="3" fontId="12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shrinkToFit="0" wrapText="1"/>
    </xf>
    <xf borderId="0" fillId="0" fontId="14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14" fillId="6" fontId="14" numFmtId="0" xfId="0" applyAlignment="1" applyBorder="1" applyFill="1" applyFont="1">
      <alignment horizontal="center" vertical="center"/>
    </xf>
    <xf borderId="15" fillId="6" fontId="14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9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6" numFmtId="0" xfId="0" applyBorder="1" applyFont="1"/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4" fillId="0" fontId="9" numFmtId="0" xfId="0" applyAlignment="1" applyBorder="1" applyFont="1">
      <alignment readingOrder="0" shrinkToFit="0" vertical="center" wrapText="1"/>
    </xf>
    <xf borderId="7" fillId="7" fontId="16" numFmtId="0" xfId="0" applyAlignment="1" applyBorder="1" applyFill="1" applyFont="1">
      <alignment horizontal="center" vertical="center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391801075269"/>
          <c:y val="0.0601579566459419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'LISTA COMPROBACION CU-001'!$B$41:$B$43</c:f>
            </c:strRef>
          </c:cat>
          <c:val>
            <c:numRef>
              <c:f>'LISTA COMPROBACION CU-001'!$C$41:$C$43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391801075269"/>
          <c:y val="0.0601579566459419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'LISTA COMPROBACION CU-002'!$B$41:$B$43</c:f>
            </c:strRef>
          </c:cat>
          <c:val>
            <c:numRef>
              <c:f>'LISTA COMPROBACION CU-002'!$C$41:$C$43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391801075269"/>
          <c:y val="0.0601579566459419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'LISTA COMPROBACION CU-003'!$B$41:$B$43</c:f>
            </c:strRef>
          </c:cat>
          <c:val>
            <c:numRef>
              <c:f>'LISTA COMPROBACION CU-003'!$C$41:$C$43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35</xdr:row>
      <xdr:rowOff>114300</xdr:rowOff>
    </xdr:from>
    <xdr:ext cx="4048125" cy="2143125"/>
    <xdr:graphicFrame>
      <xdr:nvGraphicFramePr>
        <xdr:cNvPr id="28257512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35</xdr:row>
      <xdr:rowOff>114300</xdr:rowOff>
    </xdr:from>
    <xdr:ext cx="4048125" cy="2143125"/>
    <xdr:graphicFrame>
      <xdr:nvGraphicFramePr>
        <xdr:cNvPr id="12735862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35</xdr:row>
      <xdr:rowOff>114300</xdr:rowOff>
    </xdr:from>
    <xdr:ext cx="4048125" cy="2143125"/>
    <xdr:graphicFrame>
      <xdr:nvGraphicFramePr>
        <xdr:cNvPr id="13628722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  <c r="D2" s="2"/>
    </row>
    <row r="3" ht="30.0" customHeight="1">
      <c r="C3" s="3" t="s">
        <v>0</v>
      </c>
    </row>
    <row r="4" ht="30.0" customHeight="1"/>
    <row r="5" ht="30.0" customHeight="1">
      <c r="C5" s="3"/>
      <c r="D5" s="4" t="s">
        <v>1</v>
      </c>
      <c r="E5" s="5" t="s">
        <v>2</v>
      </c>
    </row>
    <row r="6" ht="55.5" customHeight="1">
      <c r="C6" s="1"/>
      <c r="F6" s="6" t="s">
        <v>3</v>
      </c>
      <c r="G6" s="7"/>
      <c r="H6" s="7"/>
      <c r="I6" s="7"/>
      <c r="J6" s="7"/>
      <c r="K6" s="8"/>
    </row>
    <row r="7" ht="45.0" customHeight="1">
      <c r="B7" s="9" t="s">
        <v>4</v>
      </c>
      <c r="C7" s="10" t="s">
        <v>5</v>
      </c>
      <c r="D7" s="11"/>
      <c r="E7" s="12" t="s">
        <v>6</v>
      </c>
      <c r="F7" s="9" t="s">
        <v>7</v>
      </c>
      <c r="G7" s="12" t="s">
        <v>6</v>
      </c>
      <c r="H7" s="13">
        <v>100.0</v>
      </c>
      <c r="I7" s="9" t="s">
        <v>8</v>
      </c>
      <c r="J7" s="12" t="s">
        <v>6</v>
      </c>
      <c r="K7" s="14" t="s">
        <v>9</v>
      </c>
    </row>
    <row r="8" ht="60.0" customHeight="1">
      <c r="B8" s="15"/>
      <c r="C8" s="16"/>
      <c r="D8" s="17"/>
      <c r="E8" s="15"/>
      <c r="F8" s="15"/>
      <c r="G8" s="15"/>
      <c r="H8" s="13">
        <v>0.0</v>
      </c>
      <c r="I8" s="15"/>
      <c r="J8" s="15"/>
      <c r="K8" s="15"/>
    </row>
    <row r="9" ht="87.75" customHeight="1">
      <c r="B9" s="18">
        <v>1.0</v>
      </c>
      <c r="C9" s="19" t="s">
        <v>10</v>
      </c>
      <c r="D9" s="8"/>
      <c r="E9" s="20" t="s">
        <v>11</v>
      </c>
      <c r="F9" s="21" t="s">
        <v>12</v>
      </c>
      <c r="G9" s="20" t="s">
        <v>11</v>
      </c>
      <c r="H9" s="22">
        <v>1.0</v>
      </c>
      <c r="I9" s="21" t="s">
        <v>12</v>
      </c>
      <c r="J9" s="20" t="s">
        <v>11</v>
      </c>
      <c r="K9" s="21" t="s">
        <v>12</v>
      </c>
    </row>
    <row r="10" ht="39.75" customHeight="1">
      <c r="B10" s="18">
        <v>2.0</v>
      </c>
      <c r="C10" s="19" t="s">
        <v>13</v>
      </c>
      <c r="D10" s="8"/>
      <c r="E10" s="20" t="s">
        <v>11</v>
      </c>
      <c r="F10" s="23" t="s">
        <v>14</v>
      </c>
      <c r="G10" s="20" t="s">
        <v>11</v>
      </c>
      <c r="I10" s="23" t="s">
        <v>14</v>
      </c>
      <c r="J10" s="20" t="s">
        <v>11</v>
      </c>
      <c r="K10" s="23" t="s">
        <v>14</v>
      </c>
    </row>
    <row r="11" ht="72.0" customHeight="1">
      <c r="B11" s="18">
        <v>3.0</v>
      </c>
      <c r="C11" s="19" t="s">
        <v>15</v>
      </c>
      <c r="D11" s="8"/>
      <c r="E11" s="20" t="s">
        <v>11</v>
      </c>
      <c r="F11" s="23" t="s">
        <v>16</v>
      </c>
      <c r="G11" s="24" t="s">
        <v>17</v>
      </c>
      <c r="I11" s="23" t="s">
        <v>18</v>
      </c>
      <c r="J11" s="20" t="s">
        <v>11</v>
      </c>
      <c r="K11" s="23" t="s">
        <v>16</v>
      </c>
    </row>
    <row r="12" ht="39.75" customHeight="1">
      <c r="B12" s="18">
        <v>4.0</v>
      </c>
      <c r="C12" s="19" t="s">
        <v>19</v>
      </c>
      <c r="D12" s="8"/>
      <c r="E12" s="20" t="s">
        <v>11</v>
      </c>
      <c r="F12" s="25" t="s">
        <v>20</v>
      </c>
      <c r="G12" s="20" t="s">
        <v>11</v>
      </c>
      <c r="I12" s="25" t="s">
        <v>20</v>
      </c>
      <c r="J12" s="20" t="s">
        <v>11</v>
      </c>
      <c r="K12" s="25" t="s">
        <v>20</v>
      </c>
    </row>
    <row r="13" ht="72.0" customHeight="1">
      <c r="B13" s="18">
        <v>5.0</v>
      </c>
      <c r="C13" s="19" t="s">
        <v>21</v>
      </c>
      <c r="D13" s="8"/>
      <c r="E13" s="20" t="s">
        <v>11</v>
      </c>
      <c r="F13" s="25" t="s">
        <v>22</v>
      </c>
      <c r="G13" s="24" t="s">
        <v>17</v>
      </c>
      <c r="I13" s="25" t="s">
        <v>23</v>
      </c>
      <c r="J13" s="20" t="s">
        <v>11</v>
      </c>
      <c r="K13" s="25" t="s">
        <v>22</v>
      </c>
    </row>
    <row r="14" ht="72.0" customHeight="1">
      <c r="B14" s="18">
        <v>6.0</v>
      </c>
      <c r="C14" s="19" t="s">
        <v>24</v>
      </c>
      <c r="D14" s="8"/>
      <c r="E14" s="24" t="s">
        <v>17</v>
      </c>
      <c r="F14" s="25" t="s">
        <v>25</v>
      </c>
      <c r="G14" s="24" t="s">
        <v>17</v>
      </c>
      <c r="I14" s="25" t="s">
        <v>26</v>
      </c>
      <c r="J14" s="24" t="s">
        <v>17</v>
      </c>
      <c r="K14" s="25" t="s">
        <v>27</v>
      </c>
    </row>
    <row r="15" ht="55.5" customHeight="1">
      <c r="B15" s="18">
        <v>7.0</v>
      </c>
      <c r="C15" s="19" t="s">
        <v>28</v>
      </c>
      <c r="D15" s="8"/>
      <c r="E15" s="24" t="s">
        <v>17</v>
      </c>
      <c r="F15" s="25" t="s">
        <v>29</v>
      </c>
      <c r="G15" s="24" t="s">
        <v>17</v>
      </c>
      <c r="I15" s="25" t="s">
        <v>30</v>
      </c>
      <c r="J15" s="20" t="s">
        <v>11</v>
      </c>
      <c r="K15" s="25" t="s">
        <v>31</v>
      </c>
    </row>
    <row r="16" ht="39.75" customHeight="1">
      <c r="B16" s="18">
        <v>8.0</v>
      </c>
      <c r="C16" s="19" t="s">
        <v>32</v>
      </c>
      <c r="D16" s="8"/>
      <c r="E16" s="20" t="s">
        <v>11</v>
      </c>
      <c r="F16" s="25" t="s">
        <v>33</v>
      </c>
      <c r="G16" s="20" t="s">
        <v>11</v>
      </c>
      <c r="I16" s="25" t="s">
        <v>33</v>
      </c>
      <c r="J16" s="20" t="s">
        <v>11</v>
      </c>
      <c r="K16" s="25" t="s">
        <v>33</v>
      </c>
    </row>
    <row r="17" ht="72.0" customHeight="1">
      <c r="B17" s="18">
        <v>9.0</v>
      </c>
      <c r="C17" s="19" t="s">
        <v>34</v>
      </c>
      <c r="D17" s="8"/>
      <c r="E17" s="20" t="s">
        <v>11</v>
      </c>
      <c r="F17" s="26" t="s">
        <v>35</v>
      </c>
      <c r="G17" s="20" t="s">
        <v>11</v>
      </c>
      <c r="I17" s="26" t="s">
        <v>36</v>
      </c>
      <c r="J17" s="20" t="s">
        <v>11</v>
      </c>
      <c r="K17" s="26" t="s">
        <v>37</v>
      </c>
    </row>
    <row r="18" ht="72.0" customHeight="1">
      <c r="B18" s="18">
        <v>10.0</v>
      </c>
      <c r="C18" s="19" t="s">
        <v>38</v>
      </c>
      <c r="D18" s="8"/>
      <c r="E18" s="24" t="s">
        <v>17</v>
      </c>
      <c r="F18" s="25" t="s">
        <v>39</v>
      </c>
      <c r="G18" s="24" t="s">
        <v>17</v>
      </c>
      <c r="I18" s="25" t="s">
        <v>40</v>
      </c>
      <c r="J18" s="24" t="s">
        <v>17</v>
      </c>
      <c r="K18" s="25" t="s">
        <v>41</v>
      </c>
    </row>
    <row r="19" ht="72.0" customHeight="1">
      <c r="B19" s="18">
        <v>11.0</v>
      </c>
      <c r="C19" s="19" t="s">
        <v>42</v>
      </c>
      <c r="D19" s="8"/>
      <c r="E19" s="20" t="s">
        <v>11</v>
      </c>
      <c r="F19" s="25" t="s">
        <v>43</v>
      </c>
      <c r="G19" s="20" t="s">
        <v>11</v>
      </c>
      <c r="I19" s="25" t="s">
        <v>43</v>
      </c>
      <c r="J19" s="20" t="s">
        <v>11</v>
      </c>
      <c r="K19" s="25" t="s">
        <v>43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7916666666667" footer="0.0" header="0.0" left="0.470138888888889" right="0.708333333333333" top="0.747916666666667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44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0" t="s">
        <v>45</v>
      </c>
      <c r="C2" s="31">
        <v>46300.0</v>
      </c>
    </row>
    <row r="3" ht="14.25" customHeight="1">
      <c r="B3" s="30" t="s">
        <v>46</v>
      </c>
      <c r="C3" s="32" t="s">
        <v>47</v>
      </c>
    </row>
    <row r="4" ht="14.25" customHeight="1">
      <c r="B4" s="30" t="s">
        <v>48</v>
      </c>
      <c r="C4" s="33" t="s">
        <v>49</v>
      </c>
    </row>
    <row r="5" ht="14.25" customHeight="1"/>
    <row r="6" ht="14.25" customHeight="1">
      <c r="A6" s="34" t="s">
        <v>50</v>
      </c>
    </row>
    <row r="7" ht="15.0" customHeight="1">
      <c r="A7" s="35" t="s">
        <v>51</v>
      </c>
      <c r="B7" s="36" t="s">
        <v>52</v>
      </c>
      <c r="C7" s="36" t="s">
        <v>53</v>
      </c>
      <c r="D7" s="37" t="s">
        <v>54</v>
      </c>
    </row>
    <row r="8" ht="14.25" customHeight="1">
      <c r="A8" s="38">
        <v>1.0</v>
      </c>
      <c r="B8" s="39" t="s">
        <v>55</v>
      </c>
      <c r="C8" s="40" t="s">
        <v>56</v>
      </c>
      <c r="D8" s="41"/>
    </row>
    <row r="9" ht="14.25" customHeight="1">
      <c r="A9" s="38">
        <v>2.0</v>
      </c>
      <c r="B9" s="39" t="s">
        <v>57</v>
      </c>
      <c r="C9" s="40"/>
      <c r="D9" s="41" t="s">
        <v>56</v>
      </c>
    </row>
    <row r="10" ht="14.25" customHeight="1">
      <c r="A10" s="38">
        <v>3.0</v>
      </c>
      <c r="B10" s="39" t="s">
        <v>58</v>
      </c>
      <c r="C10" s="40" t="s">
        <v>56</v>
      </c>
      <c r="D10" s="41"/>
    </row>
    <row r="11" ht="14.25" customHeight="1">
      <c r="A11" s="38">
        <v>4.0</v>
      </c>
      <c r="B11" s="39" t="s">
        <v>59</v>
      </c>
      <c r="C11" s="40" t="s">
        <v>56</v>
      </c>
      <c r="D11" s="41"/>
    </row>
    <row r="12" ht="14.25" customHeight="1">
      <c r="A12" s="38">
        <v>5.0</v>
      </c>
      <c r="B12" s="39" t="s">
        <v>60</v>
      </c>
      <c r="C12" s="40" t="s">
        <v>56</v>
      </c>
      <c r="D12" s="41"/>
    </row>
    <row r="13" ht="14.25" customHeight="1">
      <c r="A13" s="38">
        <v>6.0</v>
      </c>
      <c r="B13" s="39" t="s">
        <v>61</v>
      </c>
      <c r="C13" s="40" t="s">
        <v>56</v>
      </c>
      <c r="D13" s="41"/>
    </row>
    <row r="14" ht="14.25" customHeight="1">
      <c r="A14" s="38">
        <v>7.0</v>
      </c>
      <c r="B14" s="39" t="s">
        <v>62</v>
      </c>
      <c r="C14" s="40"/>
      <c r="D14" s="41" t="s">
        <v>56</v>
      </c>
    </row>
    <row r="15" ht="14.25" customHeight="1">
      <c r="A15" s="38">
        <v>8.0</v>
      </c>
      <c r="B15" s="39" t="s">
        <v>63</v>
      </c>
      <c r="C15" s="40" t="s">
        <v>56</v>
      </c>
      <c r="D15" s="41"/>
    </row>
    <row r="16" ht="14.25" customHeight="1">
      <c r="A16" s="42">
        <v>9.0</v>
      </c>
      <c r="B16" s="43" t="s">
        <v>64</v>
      </c>
      <c r="C16" s="44"/>
      <c r="D16" s="44" t="s">
        <v>56</v>
      </c>
    </row>
    <row r="17" ht="14.25" customHeight="1">
      <c r="A17" s="45" t="s">
        <v>65</v>
      </c>
      <c r="C17" s="22">
        <f>COUNTA('LISTA COMPROBACION CU-001'!$C$8:$C$16)</f>
        <v>6</v>
      </c>
      <c r="D17" s="22">
        <f>COUNTA('LISTA COMPROBACION CU-001'!$D$8:$D$16)</f>
        <v>3</v>
      </c>
    </row>
    <row r="18" ht="14.25" customHeight="1">
      <c r="A18" s="45" t="s">
        <v>66</v>
      </c>
      <c r="C18" s="46">
        <f t="shared" ref="C18:D18" si="1">C17/9</f>
        <v>0.6666666667</v>
      </c>
      <c r="D18" s="46">
        <f t="shared" si="1"/>
        <v>0.3333333333</v>
      </c>
    </row>
    <row r="19" ht="14.25" customHeight="1">
      <c r="A19" s="45"/>
      <c r="B19" s="45"/>
      <c r="C19" s="46"/>
    </row>
    <row r="20" ht="14.25" customHeight="1">
      <c r="A20" s="47" t="s">
        <v>67</v>
      </c>
      <c r="B20" s="48"/>
      <c r="C20" s="48"/>
      <c r="D20" s="48"/>
    </row>
    <row r="21" ht="14.25" customHeight="1">
      <c r="A21" s="49" t="s">
        <v>51</v>
      </c>
      <c r="B21" s="50" t="s">
        <v>52</v>
      </c>
      <c r="C21" s="51" t="s">
        <v>53</v>
      </c>
      <c r="D21" s="52" t="s">
        <v>54</v>
      </c>
    </row>
    <row r="22" ht="14.25" customHeight="1">
      <c r="A22" s="38">
        <v>1.0</v>
      </c>
      <c r="B22" s="39" t="s">
        <v>68</v>
      </c>
      <c r="C22" s="44" t="s">
        <v>56</v>
      </c>
      <c r="D22" s="41"/>
    </row>
    <row r="23" ht="14.25" customHeight="1">
      <c r="A23" s="38">
        <v>2.0</v>
      </c>
      <c r="B23" s="39" t="s">
        <v>69</v>
      </c>
      <c r="C23" s="44"/>
      <c r="D23" s="41" t="s">
        <v>56</v>
      </c>
    </row>
    <row r="24" ht="14.25" customHeight="1">
      <c r="A24" s="38">
        <v>3.0</v>
      </c>
      <c r="B24" s="39" t="s">
        <v>70</v>
      </c>
      <c r="C24" s="44" t="s">
        <v>56</v>
      </c>
      <c r="D24" s="41"/>
    </row>
    <row r="25" ht="14.25" customHeight="1">
      <c r="A25" s="38">
        <v>4.0</v>
      </c>
      <c r="B25" s="39" t="s">
        <v>71</v>
      </c>
      <c r="C25" s="44" t="s">
        <v>56</v>
      </c>
      <c r="D25" s="41"/>
    </row>
    <row r="26" ht="14.25" customHeight="1">
      <c r="A26" s="42">
        <v>5.0</v>
      </c>
      <c r="B26" s="43" t="s">
        <v>72</v>
      </c>
      <c r="C26" s="44"/>
      <c r="D26" s="53" t="s">
        <v>56</v>
      </c>
    </row>
    <row r="27" ht="14.25" customHeight="1">
      <c r="A27" s="45" t="s">
        <v>65</v>
      </c>
      <c r="C27" s="22">
        <f>COUNTA('LISTA COMPROBACION CU-001'!$C$22:$C$26)</f>
        <v>3</v>
      </c>
      <c r="D27" s="22">
        <f>COUNTA('LISTA COMPROBACION CU-001'!$D$22:$D$26)</f>
        <v>2</v>
      </c>
    </row>
    <row r="28" ht="14.25" customHeight="1">
      <c r="A28" s="45" t="s">
        <v>66</v>
      </c>
      <c r="C28" s="46">
        <f t="shared" ref="C28:D28" si="2">C27/5</f>
        <v>0.6</v>
      </c>
      <c r="D28" s="46">
        <f t="shared" si="2"/>
        <v>0.4</v>
      </c>
    </row>
    <row r="29" ht="14.25" customHeight="1">
      <c r="A29" s="45"/>
      <c r="B29" s="45"/>
      <c r="C29" s="46"/>
    </row>
    <row r="30" ht="14.25" customHeight="1">
      <c r="A30" s="34" t="s">
        <v>73</v>
      </c>
    </row>
    <row r="31" ht="14.25" customHeight="1">
      <c r="A31" s="49" t="s">
        <v>51</v>
      </c>
      <c r="B31" s="50" t="s">
        <v>52</v>
      </c>
      <c r="C31" s="51" t="s">
        <v>53</v>
      </c>
      <c r="D31" s="52" t="s">
        <v>54</v>
      </c>
    </row>
    <row r="32" ht="14.25" customHeight="1">
      <c r="A32" s="38">
        <v>1.0</v>
      </c>
      <c r="B32" s="39" t="s">
        <v>74</v>
      </c>
      <c r="C32" s="44" t="s">
        <v>56</v>
      </c>
      <c r="D32" s="44"/>
    </row>
    <row r="33" ht="14.25" customHeight="1">
      <c r="A33" s="38">
        <v>2.0</v>
      </c>
      <c r="B33" s="39" t="s">
        <v>75</v>
      </c>
      <c r="C33" s="44" t="s">
        <v>56</v>
      </c>
      <c r="D33" s="44"/>
    </row>
    <row r="34" ht="14.25" customHeight="1">
      <c r="A34" s="42">
        <v>3.0</v>
      </c>
      <c r="B34" s="43" t="s">
        <v>76</v>
      </c>
      <c r="C34" s="44"/>
      <c r="D34" s="44" t="s">
        <v>56</v>
      </c>
    </row>
    <row r="35" ht="14.25" customHeight="1">
      <c r="A35" s="45" t="s">
        <v>65</v>
      </c>
      <c r="C35" s="22">
        <f>COUNTA('LISTA COMPROBACION CU-001'!$C$32:$C$34)</f>
        <v>2</v>
      </c>
      <c r="D35" s="22">
        <f>COUNTA('LISTA COMPROBACION CU-001'!$D$32:$D$34)</f>
        <v>1</v>
      </c>
    </row>
    <row r="36" ht="14.25" customHeight="1">
      <c r="A36" s="45" t="s">
        <v>66</v>
      </c>
      <c r="C36" s="46">
        <f t="shared" ref="C36:D36" si="3">C35/3</f>
        <v>0.6666666667</v>
      </c>
      <c r="D36" s="46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54" t="s">
        <v>77</v>
      </c>
    </row>
    <row r="41" ht="30.0" customHeight="1">
      <c r="B41" s="27" t="s">
        <v>78</v>
      </c>
      <c r="C41" s="22">
        <f>ROUND(C18*100,0)</f>
        <v>67</v>
      </c>
    </row>
    <row r="42" ht="30.0" customHeight="1">
      <c r="B42" s="27" t="s">
        <v>67</v>
      </c>
      <c r="C42" s="22">
        <f>ROUND(C28*100,0)</f>
        <v>60</v>
      </c>
    </row>
    <row r="43" ht="30.0" customHeight="1">
      <c r="B43" s="27" t="s">
        <v>73</v>
      </c>
      <c r="C43" s="22">
        <f>ROUND(C36*100,0)</f>
        <v>67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4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44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0" t="s">
        <v>45</v>
      </c>
      <c r="C2" s="31">
        <v>46300.0</v>
      </c>
    </row>
    <row r="3" ht="14.25" customHeight="1">
      <c r="B3" s="30" t="s">
        <v>46</v>
      </c>
      <c r="C3" s="32" t="s">
        <v>79</v>
      </c>
    </row>
    <row r="4" ht="14.25" customHeight="1">
      <c r="B4" s="30" t="s">
        <v>48</v>
      </c>
      <c r="C4" s="33" t="s">
        <v>80</v>
      </c>
    </row>
    <row r="5" ht="14.25" customHeight="1"/>
    <row r="6" ht="14.25" customHeight="1">
      <c r="A6" s="34" t="s">
        <v>50</v>
      </c>
    </row>
    <row r="7" ht="15.0" customHeight="1">
      <c r="A7" s="35" t="s">
        <v>51</v>
      </c>
      <c r="B7" s="36" t="s">
        <v>52</v>
      </c>
      <c r="C7" s="36" t="s">
        <v>53</v>
      </c>
      <c r="D7" s="37" t="s">
        <v>54</v>
      </c>
    </row>
    <row r="8" ht="14.25" customHeight="1">
      <c r="A8" s="38">
        <v>1.0</v>
      </c>
      <c r="B8" s="39" t="s">
        <v>55</v>
      </c>
      <c r="C8" s="40" t="s">
        <v>56</v>
      </c>
      <c r="D8" s="41"/>
    </row>
    <row r="9" ht="14.25" customHeight="1">
      <c r="A9" s="38">
        <v>2.0</v>
      </c>
      <c r="B9" s="39" t="s">
        <v>57</v>
      </c>
      <c r="C9" s="40"/>
      <c r="D9" s="41" t="s">
        <v>56</v>
      </c>
    </row>
    <row r="10" ht="14.25" customHeight="1">
      <c r="A10" s="38">
        <v>3.0</v>
      </c>
      <c r="B10" s="39" t="s">
        <v>58</v>
      </c>
      <c r="C10" s="40" t="s">
        <v>56</v>
      </c>
      <c r="D10" s="41"/>
    </row>
    <row r="11" ht="14.25" customHeight="1">
      <c r="A11" s="38">
        <v>4.0</v>
      </c>
      <c r="B11" s="39" t="s">
        <v>59</v>
      </c>
      <c r="C11" s="40" t="s">
        <v>56</v>
      </c>
      <c r="D11" s="41"/>
    </row>
    <row r="12" ht="14.25" customHeight="1">
      <c r="A12" s="38">
        <v>5.0</v>
      </c>
      <c r="B12" s="39" t="s">
        <v>60</v>
      </c>
      <c r="C12" s="40" t="s">
        <v>56</v>
      </c>
      <c r="D12" s="41"/>
    </row>
    <row r="13" ht="14.25" customHeight="1">
      <c r="A13" s="38">
        <v>6.0</v>
      </c>
      <c r="B13" s="39" t="s">
        <v>61</v>
      </c>
      <c r="C13" s="40"/>
      <c r="D13" s="41" t="s">
        <v>56</v>
      </c>
    </row>
    <row r="14" ht="14.25" customHeight="1">
      <c r="A14" s="38">
        <v>7.0</v>
      </c>
      <c r="B14" s="39" t="s">
        <v>62</v>
      </c>
      <c r="C14" s="40"/>
      <c r="D14" s="40" t="s">
        <v>56</v>
      </c>
    </row>
    <row r="15" ht="14.25" customHeight="1">
      <c r="A15" s="38">
        <v>8.0</v>
      </c>
      <c r="B15" s="39" t="s">
        <v>63</v>
      </c>
      <c r="C15" s="40" t="s">
        <v>56</v>
      </c>
      <c r="D15" s="41"/>
    </row>
    <row r="16" ht="14.25" customHeight="1">
      <c r="A16" s="42">
        <v>9.0</v>
      </c>
      <c r="B16" s="43" t="s">
        <v>64</v>
      </c>
      <c r="C16" s="44"/>
      <c r="D16" s="44" t="s">
        <v>56</v>
      </c>
    </row>
    <row r="17" ht="14.25" customHeight="1">
      <c r="A17" s="45" t="s">
        <v>65</v>
      </c>
      <c r="C17" s="22">
        <f>COUNTA('LISTA COMPROBACION CU-002'!$C$8:$C$16)</f>
        <v>5</v>
      </c>
      <c r="D17" s="22">
        <f>COUNTA('LISTA COMPROBACION CU-002'!$D$8:$D$16)</f>
        <v>4</v>
      </c>
    </row>
    <row r="18" ht="14.25" customHeight="1">
      <c r="A18" s="45" t="s">
        <v>66</v>
      </c>
      <c r="C18" s="46">
        <f t="shared" ref="C18:D18" si="1">C17/9</f>
        <v>0.5555555556</v>
      </c>
      <c r="D18" s="46">
        <f t="shared" si="1"/>
        <v>0.4444444444</v>
      </c>
    </row>
    <row r="19" ht="14.25" customHeight="1">
      <c r="A19" s="45"/>
      <c r="B19" s="45"/>
      <c r="C19" s="46"/>
    </row>
    <row r="20" ht="14.25" customHeight="1">
      <c r="A20" s="47" t="s">
        <v>67</v>
      </c>
      <c r="B20" s="48"/>
      <c r="C20" s="48"/>
      <c r="D20" s="48"/>
    </row>
    <row r="21" ht="14.25" customHeight="1">
      <c r="A21" s="49" t="s">
        <v>51</v>
      </c>
      <c r="B21" s="50" t="s">
        <v>52</v>
      </c>
      <c r="C21" s="51" t="s">
        <v>53</v>
      </c>
      <c r="D21" s="52" t="s">
        <v>54</v>
      </c>
    </row>
    <row r="22" ht="14.25" customHeight="1">
      <c r="A22" s="38">
        <v>1.0</v>
      </c>
      <c r="B22" s="39" t="s">
        <v>68</v>
      </c>
      <c r="C22" s="44" t="s">
        <v>56</v>
      </c>
      <c r="D22" s="41"/>
    </row>
    <row r="23" ht="14.25" customHeight="1">
      <c r="A23" s="38">
        <v>2.0</v>
      </c>
      <c r="B23" s="39" t="s">
        <v>69</v>
      </c>
      <c r="C23" s="44"/>
      <c r="D23" s="41" t="s">
        <v>56</v>
      </c>
    </row>
    <row r="24" ht="14.25" customHeight="1">
      <c r="A24" s="38">
        <v>3.0</v>
      </c>
      <c r="B24" s="39" t="s">
        <v>70</v>
      </c>
      <c r="C24" s="44" t="s">
        <v>56</v>
      </c>
    </row>
    <row r="25" ht="14.25" customHeight="1">
      <c r="A25" s="38">
        <v>4.0</v>
      </c>
      <c r="B25" s="39" t="s">
        <v>71</v>
      </c>
      <c r="C25" s="44"/>
      <c r="D25" s="41" t="s">
        <v>56</v>
      </c>
    </row>
    <row r="26" ht="14.25" customHeight="1">
      <c r="A26" s="42">
        <v>5.0</v>
      </c>
      <c r="B26" s="43" t="s">
        <v>72</v>
      </c>
      <c r="C26" s="44"/>
      <c r="D26" s="53" t="s">
        <v>56</v>
      </c>
    </row>
    <row r="27" ht="14.25" customHeight="1">
      <c r="A27" s="45" t="s">
        <v>65</v>
      </c>
      <c r="C27" s="22">
        <f>COUNTA('LISTA COMPROBACION CU-002'!$C$22:$C$26)</f>
        <v>2</v>
      </c>
      <c r="D27" s="22">
        <f>COUNTA('LISTA COMPROBACION CU-002'!$D$22:$D$26)</f>
        <v>3</v>
      </c>
    </row>
    <row r="28" ht="14.25" customHeight="1">
      <c r="A28" s="45" t="s">
        <v>66</v>
      </c>
      <c r="C28" s="46">
        <f t="shared" ref="C28:D28" si="2">C27/5</f>
        <v>0.4</v>
      </c>
      <c r="D28" s="46">
        <f t="shared" si="2"/>
        <v>0.6</v>
      </c>
    </row>
    <row r="29" ht="14.25" customHeight="1">
      <c r="A29" s="45"/>
      <c r="B29" s="45"/>
      <c r="C29" s="46"/>
    </row>
    <row r="30" ht="14.25" customHeight="1">
      <c r="A30" s="34" t="s">
        <v>73</v>
      </c>
    </row>
    <row r="31" ht="14.25" customHeight="1">
      <c r="A31" s="49" t="s">
        <v>51</v>
      </c>
      <c r="B31" s="50" t="s">
        <v>52</v>
      </c>
      <c r="C31" s="51" t="s">
        <v>53</v>
      </c>
      <c r="D31" s="52" t="s">
        <v>54</v>
      </c>
    </row>
    <row r="32" ht="14.25" customHeight="1">
      <c r="A32" s="38">
        <v>1.0</v>
      </c>
      <c r="B32" s="39" t="s">
        <v>74</v>
      </c>
      <c r="C32" s="22" t="s">
        <v>56</v>
      </c>
      <c r="D32" s="44"/>
    </row>
    <row r="33" ht="14.25" customHeight="1">
      <c r="A33" s="38">
        <v>2.0</v>
      </c>
      <c r="B33" s="39" t="s">
        <v>75</v>
      </c>
      <c r="C33" s="44" t="s">
        <v>56</v>
      </c>
      <c r="D33" s="44"/>
    </row>
    <row r="34" ht="14.25" customHeight="1">
      <c r="A34" s="42">
        <v>3.0</v>
      </c>
      <c r="B34" s="43" t="s">
        <v>76</v>
      </c>
      <c r="C34" s="44"/>
      <c r="D34" s="44" t="s">
        <v>56</v>
      </c>
    </row>
    <row r="35" ht="14.25" customHeight="1">
      <c r="A35" s="45" t="s">
        <v>65</v>
      </c>
      <c r="C35" s="22">
        <f>COUNTA('LISTA COMPROBACION CU-002'!$C$32:$C$34)</f>
        <v>2</v>
      </c>
      <c r="D35" s="22">
        <f>COUNTA('LISTA COMPROBACION CU-002'!$D$32:$D$34)</f>
        <v>1</v>
      </c>
    </row>
    <row r="36" ht="14.25" customHeight="1">
      <c r="A36" s="45" t="s">
        <v>66</v>
      </c>
      <c r="C36" s="46">
        <f t="shared" ref="C36:D36" si="3">C35/3</f>
        <v>0.6666666667</v>
      </c>
      <c r="D36" s="46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54" t="s">
        <v>77</v>
      </c>
    </row>
    <row r="41" ht="30.0" customHeight="1">
      <c r="B41" s="27" t="s">
        <v>78</v>
      </c>
      <c r="C41" s="22">
        <f>ROUND(C18*100,0)</f>
        <v>56</v>
      </c>
    </row>
    <row r="42" ht="30.0" customHeight="1">
      <c r="B42" s="27" t="s">
        <v>67</v>
      </c>
      <c r="C42" s="22">
        <f>ROUND(C28*100,0)</f>
        <v>40</v>
      </c>
    </row>
    <row r="43" ht="30.0" customHeight="1">
      <c r="B43" s="27" t="s">
        <v>73</v>
      </c>
      <c r="C43" s="22">
        <f>ROUND(C36*100,0)</f>
        <v>67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3:C34 D32:D34">
    <cfRule type="containsText" dxfId="1" priority="2" operator="containsText" text="X">
      <formula>NOT(ISERROR(SEARCH(("X"),(C8))))</formula>
    </cfRule>
  </conditionalFormatting>
  <conditionalFormatting sqref="C8:D16 C22:C26 C33:C34 D32:D34">
    <cfRule type="containsText" dxfId="2" priority="3" operator="containsText" text="X">
      <formula>NOT(ISERROR(SEARCH(("X"),(C8))))</formula>
    </cfRule>
  </conditionalFormatting>
  <conditionalFormatting sqref="C8:D16 C22:C26 C33:C34 D32:D34">
    <cfRule type="containsText" dxfId="3" priority="4" operator="containsText" text="X">
      <formula>NOT(ISERROR(SEARCH(("X"),(C8))))</formula>
    </cfRule>
  </conditionalFormatting>
  <conditionalFormatting sqref="C8:D16 C22:C26 C33:C34 D32:D34">
    <cfRule type="containsText" dxfId="4" priority="5" operator="containsText" text="X">
      <formula>NOT(ISERROR(SEARCH(("X"),(C8))))</formula>
    </cfRule>
  </conditionalFormatting>
  <conditionalFormatting sqref="C22:D26">
    <cfRule type="containsText" dxfId="4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conditionalFormatting sqref="C32:D34">
    <cfRule type="containsText" dxfId="4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44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0" t="s">
        <v>45</v>
      </c>
      <c r="C2" s="31">
        <v>46300.0</v>
      </c>
    </row>
    <row r="3" ht="14.25" customHeight="1">
      <c r="B3" s="30" t="s">
        <v>46</v>
      </c>
      <c r="C3" s="32" t="s">
        <v>81</v>
      </c>
    </row>
    <row r="4" ht="14.25" customHeight="1">
      <c r="B4" s="30" t="s">
        <v>48</v>
      </c>
      <c r="C4" s="33" t="s">
        <v>82</v>
      </c>
    </row>
    <row r="5" ht="14.25" customHeight="1"/>
    <row r="6" ht="34.5" customHeight="1">
      <c r="A6" s="34" t="s">
        <v>50</v>
      </c>
    </row>
    <row r="7" ht="15.0" customHeight="1">
      <c r="A7" s="35" t="s">
        <v>51</v>
      </c>
      <c r="B7" s="36" t="s">
        <v>52</v>
      </c>
      <c r="C7" s="36" t="s">
        <v>53</v>
      </c>
      <c r="D7" s="37" t="s">
        <v>54</v>
      </c>
    </row>
    <row r="8" ht="30.75" customHeight="1">
      <c r="A8" s="38">
        <v>1.0</v>
      </c>
      <c r="B8" s="39" t="s">
        <v>55</v>
      </c>
      <c r="C8" s="40" t="s">
        <v>56</v>
      </c>
      <c r="D8" s="41"/>
    </row>
    <row r="9" ht="26.25" customHeight="1">
      <c r="A9" s="38">
        <v>2.0</v>
      </c>
      <c r="B9" s="39" t="s">
        <v>57</v>
      </c>
      <c r="C9" s="40"/>
      <c r="D9" s="41" t="s">
        <v>56</v>
      </c>
    </row>
    <row r="10" ht="39.0" customHeight="1">
      <c r="A10" s="38">
        <v>3.0</v>
      </c>
      <c r="B10" s="39" t="s">
        <v>58</v>
      </c>
      <c r="C10" s="40" t="s">
        <v>56</v>
      </c>
      <c r="D10" s="41"/>
    </row>
    <row r="11" ht="30.75" customHeight="1">
      <c r="A11" s="38">
        <v>4.0</v>
      </c>
      <c r="B11" s="39" t="s">
        <v>59</v>
      </c>
      <c r="C11" s="40" t="s">
        <v>56</v>
      </c>
      <c r="D11" s="41"/>
    </row>
    <row r="12" ht="30.75" customHeight="1">
      <c r="A12" s="38">
        <v>5.0</v>
      </c>
      <c r="B12" s="39" t="s">
        <v>60</v>
      </c>
      <c r="C12" s="40" t="s">
        <v>56</v>
      </c>
      <c r="D12" s="41"/>
    </row>
    <row r="13" ht="34.5" customHeight="1">
      <c r="A13" s="38">
        <v>6.0</v>
      </c>
      <c r="B13" s="39" t="s">
        <v>61</v>
      </c>
      <c r="C13" s="40" t="s">
        <v>56</v>
      </c>
      <c r="D13" s="41"/>
    </row>
    <row r="14" ht="32.25" customHeight="1">
      <c r="A14" s="38">
        <v>7.0</v>
      </c>
      <c r="B14" s="39" t="s">
        <v>62</v>
      </c>
      <c r="C14" s="40"/>
      <c r="D14" s="40" t="s">
        <v>56</v>
      </c>
    </row>
    <row r="15" ht="30.75" customHeight="1">
      <c r="A15" s="38">
        <v>8.0</v>
      </c>
      <c r="B15" s="39" t="s">
        <v>63</v>
      </c>
      <c r="C15" s="40" t="s">
        <v>56</v>
      </c>
      <c r="D15" s="41"/>
    </row>
    <row r="16" ht="63.75" customHeight="1">
      <c r="A16" s="42">
        <v>9.0</v>
      </c>
      <c r="B16" s="55" t="s">
        <v>83</v>
      </c>
      <c r="C16" s="44" t="s">
        <v>56</v>
      </c>
      <c r="D16" s="44"/>
    </row>
    <row r="17" ht="14.25" customHeight="1">
      <c r="A17" s="45" t="s">
        <v>65</v>
      </c>
      <c r="C17" s="22">
        <f>COUNTA('LISTA COMPROBACION CU-003'!$C$8:$C$16)</f>
        <v>7</v>
      </c>
      <c r="D17" s="22">
        <f>COUNTA('LISTA COMPROBACION CU-003'!$D$8:$D$16)</f>
        <v>2</v>
      </c>
    </row>
    <row r="18" ht="14.25" customHeight="1">
      <c r="A18" s="45" t="s">
        <v>66</v>
      </c>
      <c r="C18" s="46">
        <f t="shared" ref="C18:D18" si="1">C17/9</f>
        <v>0.7777777778</v>
      </c>
      <c r="D18" s="46">
        <f t="shared" si="1"/>
        <v>0.2222222222</v>
      </c>
    </row>
    <row r="19" ht="14.25" customHeight="1">
      <c r="A19" s="45"/>
      <c r="B19" s="45"/>
      <c r="C19" s="46"/>
    </row>
    <row r="20" ht="46.5" customHeight="1">
      <c r="A20" s="47" t="s">
        <v>67</v>
      </c>
      <c r="B20" s="48"/>
      <c r="C20" s="48"/>
      <c r="D20" s="48"/>
    </row>
    <row r="21" ht="26.25" customHeight="1">
      <c r="A21" s="49" t="s">
        <v>51</v>
      </c>
      <c r="B21" s="50" t="s">
        <v>52</v>
      </c>
      <c r="C21" s="51" t="s">
        <v>53</v>
      </c>
      <c r="D21" s="52" t="s">
        <v>54</v>
      </c>
    </row>
    <row r="22" ht="30.75" customHeight="1">
      <c r="A22" s="38">
        <v>1.0</v>
      </c>
      <c r="B22" s="39" t="s">
        <v>68</v>
      </c>
      <c r="C22" s="44" t="s">
        <v>56</v>
      </c>
      <c r="D22" s="41"/>
    </row>
    <row r="23" ht="33.0" customHeight="1">
      <c r="A23" s="38">
        <v>2.0</v>
      </c>
      <c r="B23" s="39" t="s">
        <v>69</v>
      </c>
      <c r="C23" s="44"/>
      <c r="D23" s="41" t="s">
        <v>56</v>
      </c>
    </row>
    <row r="24" ht="27.75" customHeight="1">
      <c r="A24" s="38">
        <v>3.0</v>
      </c>
      <c r="B24" s="39" t="s">
        <v>70</v>
      </c>
      <c r="C24" s="44" t="s">
        <v>56</v>
      </c>
      <c r="D24" s="41"/>
    </row>
    <row r="25" ht="26.25" customHeight="1">
      <c r="A25" s="38">
        <v>4.0</v>
      </c>
      <c r="B25" s="39" t="s">
        <v>71</v>
      </c>
      <c r="C25" s="44" t="s">
        <v>56</v>
      </c>
      <c r="D25" s="41"/>
    </row>
    <row r="26" ht="30.0" customHeight="1">
      <c r="A26" s="42">
        <v>5.0</v>
      </c>
      <c r="B26" s="43" t="s">
        <v>72</v>
      </c>
      <c r="C26" s="44"/>
      <c r="D26" s="53" t="s">
        <v>56</v>
      </c>
    </row>
    <row r="27" ht="14.25" customHeight="1">
      <c r="A27" s="45" t="s">
        <v>65</v>
      </c>
      <c r="C27" s="22">
        <f>COUNTA('LISTA COMPROBACION CU-003'!$C$22:$C$26)</f>
        <v>3</v>
      </c>
      <c r="D27" s="22">
        <f>COUNTA('LISTA COMPROBACION CU-003'!$D$22:$D$26)</f>
        <v>2</v>
      </c>
    </row>
    <row r="28" ht="14.25" customHeight="1">
      <c r="A28" s="45" t="s">
        <v>66</v>
      </c>
      <c r="C28" s="46">
        <f t="shared" ref="C28:D28" si="2">C27/5</f>
        <v>0.6</v>
      </c>
      <c r="D28" s="46">
        <f t="shared" si="2"/>
        <v>0.4</v>
      </c>
    </row>
    <row r="29" ht="14.25" customHeight="1">
      <c r="A29" s="45"/>
      <c r="B29" s="45"/>
      <c r="C29" s="46"/>
    </row>
    <row r="30" ht="40.5" customHeight="1">
      <c r="A30" s="34" t="s">
        <v>73</v>
      </c>
    </row>
    <row r="31" ht="14.25" customHeight="1">
      <c r="A31" s="49" t="s">
        <v>51</v>
      </c>
      <c r="B31" s="50" t="s">
        <v>52</v>
      </c>
      <c r="C31" s="51" t="s">
        <v>53</v>
      </c>
      <c r="D31" s="52" t="s">
        <v>54</v>
      </c>
    </row>
    <row r="32" ht="32.25" customHeight="1">
      <c r="A32" s="38">
        <v>1.0</v>
      </c>
      <c r="B32" s="39" t="s">
        <v>74</v>
      </c>
      <c r="C32" s="44" t="s">
        <v>56</v>
      </c>
      <c r="D32" s="44"/>
    </row>
    <row r="33" ht="45.0" customHeight="1">
      <c r="A33" s="38">
        <v>2.0</v>
      </c>
      <c r="B33" s="39" t="s">
        <v>75</v>
      </c>
      <c r="C33" s="44" t="s">
        <v>56</v>
      </c>
      <c r="D33" s="44"/>
    </row>
    <row r="34" ht="45.0" customHeight="1">
      <c r="A34" s="42">
        <v>3.0</v>
      </c>
      <c r="B34" s="43" t="s">
        <v>76</v>
      </c>
      <c r="C34" s="44"/>
      <c r="D34" s="44" t="s">
        <v>56</v>
      </c>
    </row>
    <row r="35" ht="14.25" customHeight="1">
      <c r="A35" s="45" t="s">
        <v>65</v>
      </c>
      <c r="C35" s="22">
        <f>COUNTA('LISTA COMPROBACION CU-003'!$C$32:$C$34)</f>
        <v>2</v>
      </c>
      <c r="D35" s="22">
        <f>COUNTA('LISTA COMPROBACION CU-003'!$D$32:$D$34)</f>
        <v>1</v>
      </c>
    </row>
    <row r="36" ht="14.25" customHeight="1">
      <c r="A36" s="45" t="s">
        <v>66</v>
      </c>
      <c r="C36" s="46">
        <f t="shared" ref="C36:D36" si="3">C35/3</f>
        <v>0.6666666667</v>
      </c>
      <c r="D36" s="46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54" t="s">
        <v>77</v>
      </c>
    </row>
    <row r="41" ht="30.0" customHeight="1">
      <c r="B41" s="27" t="s">
        <v>78</v>
      </c>
      <c r="C41" s="22">
        <f>ROUND(C18*100,0)</f>
        <v>78</v>
      </c>
    </row>
    <row r="42" ht="30.0" customHeight="1">
      <c r="B42" s="27" t="s">
        <v>67</v>
      </c>
      <c r="C42" s="22">
        <f>ROUND(C28*100,0)</f>
        <v>60</v>
      </c>
    </row>
    <row r="43" ht="30.0" customHeight="1">
      <c r="B43" s="27" t="s">
        <v>73</v>
      </c>
      <c r="C43" s="22">
        <f>ROUND(C36*100,0)</f>
        <v>67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4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56" t="s">
        <v>84</v>
      </c>
      <c r="B1" s="56" t="s">
        <v>85</v>
      </c>
    </row>
    <row r="2" ht="72.0" customHeight="1">
      <c r="A2" s="57" t="s">
        <v>86</v>
      </c>
      <c r="B2" s="57" t="s">
        <v>87</v>
      </c>
    </row>
    <row r="3" ht="72.0" customHeight="1">
      <c r="A3" s="57" t="s">
        <v>88</v>
      </c>
      <c r="B3" s="57" t="s">
        <v>89</v>
      </c>
    </row>
    <row r="4" ht="55.5" customHeight="1">
      <c r="A4" s="57" t="s">
        <v>90</v>
      </c>
      <c r="B4" s="57" t="s">
        <v>91</v>
      </c>
    </row>
    <row r="5" ht="96.0" customHeight="1"/>
    <row r="6" ht="96.0" customHeight="1"/>
    <row r="7" ht="96.0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4.25" customHeight="1">
      <c r="A1" s="56" t="s">
        <v>84</v>
      </c>
      <c r="B1" s="56" t="s">
        <v>85</v>
      </c>
    </row>
    <row r="2" ht="72.0" customHeight="1">
      <c r="A2" s="57" t="s">
        <v>92</v>
      </c>
      <c r="B2" s="57" t="s">
        <v>93</v>
      </c>
    </row>
    <row r="3" ht="72.0" customHeight="1">
      <c r="A3" s="57" t="s">
        <v>94</v>
      </c>
      <c r="B3" s="57" t="s">
        <v>95</v>
      </c>
    </row>
    <row r="4" ht="72.0" customHeight="1">
      <c r="A4" s="57" t="s">
        <v>88</v>
      </c>
      <c r="B4" s="57" t="s">
        <v>98</v>
      </c>
    </row>
    <row r="5" ht="96.0" customHeight="1"/>
    <row r="6" ht="96.0" customHeight="1"/>
    <row r="7" ht="96.0" customHeight="1"/>
    <row r="8" ht="63.75" customHeight="1"/>
    <row r="9" ht="96.0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43"/>
    <col customWidth="1" min="2" max="2" width="57.29"/>
    <col customWidth="1" min="3" max="6" width="10.71"/>
  </cols>
  <sheetData>
    <row r="1" ht="14.25" customHeight="1">
      <c r="A1" s="56" t="s">
        <v>84</v>
      </c>
      <c r="B1" s="56" t="s">
        <v>85</v>
      </c>
    </row>
    <row r="2" ht="72.0" customHeight="1">
      <c r="A2" s="57" t="s">
        <v>96</v>
      </c>
      <c r="B2" s="57" t="s">
        <v>97</v>
      </c>
    </row>
    <row r="3" ht="72.0" customHeight="1">
      <c r="A3" s="57" t="s">
        <v>99</v>
      </c>
      <c r="B3" s="57" t="s">
        <v>100</v>
      </c>
    </row>
    <row r="4" ht="79.5" customHeight="1"/>
    <row r="5" ht="79.5" customHeight="1"/>
    <row r="6" ht="96.0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2026-10-01T13:30:38Z</dcterms:created>
  <dc:creator>openpyxl</dc:creator>
</cp:coreProperties>
</file>